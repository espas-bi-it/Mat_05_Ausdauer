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miroslav.blascanin\AppData\LocalLow\ESPAS\MAT05_Ausdauer\"/>
    </mc:Choice>
  </mc:AlternateContent>
  <xr:revisionPtr revIDLastSave="0" documentId="13_ncr:1_{B98E2EC3-8806-4505-AB7C-66020CE9D5AC}" xr6:coauthVersionLast="36" xr6:coauthVersionMax="36" xr10:uidLastSave="{00000000-0000-0000-0000-000000000000}"/>
  <bookViews>
    <workbookView xWindow="0" yWindow="0" windowWidth="28800" windowHeight="11625" xr2:uid="{00000000-000D-0000-FFFF-FFFF00000000}"/>
  </bookViews>
  <sheets>
    <sheet name="Tabelle1" sheetId="1" r:id="rId1"/>
    <sheet name="Tabelle2" sheetId="2" r:id="rId2"/>
    <sheet name="Tabelle3" sheetId="3" r:id="rId3"/>
  </sheets>
  <definedNames>
    <definedName name="_xlnm.Print_Area" localSheetId="0">Tabelle1!$A$13:$AD$71</definedName>
  </definedNames>
  <calcPr calcId="191029"/>
</workbook>
</file>

<file path=xl/calcChain.xml><?xml version="1.0" encoding="utf-8"?>
<calcChain xmlns="http://schemas.openxmlformats.org/spreadsheetml/2006/main">
  <c r="J22" i="2" l="1"/>
  <c r="C11" i="2"/>
</calcChain>
</file>

<file path=xl/sharedStrings.xml><?xml version="1.0" encoding="utf-8"?>
<sst xmlns="http://schemas.openxmlformats.org/spreadsheetml/2006/main" count="30" uniqueCount="27">
  <si>
    <t>Minuten</t>
  </si>
  <si>
    <t>Mathematik 5</t>
  </si>
  <si>
    <t>ESPAS</t>
  </si>
  <si>
    <t>Mittelwert</t>
  </si>
  <si>
    <t>Anz. Punkte</t>
  </si>
  <si>
    <t>TN</t>
  </si>
  <si>
    <t>TN in der Statistik</t>
  </si>
  <si>
    <t>Zahlen wiederholen sich</t>
  </si>
  <si>
    <t>Fazit</t>
  </si>
  <si>
    <t>Aufg.blatt Seite</t>
  </si>
  <si>
    <t xml:space="preserve">TN KV und Mix KV &amp; IT Abklärung </t>
  </si>
  <si>
    <t>Alter</t>
  </si>
  <si>
    <t>Name</t>
  </si>
  <si>
    <t>Leo</t>
  </si>
  <si>
    <t>Julia</t>
  </si>
  <si>
    <t>Nina</t>
  </si>
  <si>
    <t>Jasmin</t>
  </si>
  <si>
    <t>Yuri</t>
  </si>
  <si>
    <t>Natascha</t>
  </si>
  <si>
    <t>Durchschnitt</t>
  </si>
  <si>
    <t>Lucky</t>
  </si>
  <si>
    <t>Leggiero</t>
  </si>
  <si>
    <t>Lio</t>
  </si>
  <si>
    <t>Lexus</t>
  </si>
  <si>
    <t>Loro</t>
  </si>
  <si>
    <t>Ligoretto</t>
  </si>
  <si>
    <t>Arbeitskurven 2020 - 2024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</si>
</sst>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0"/>
      <name val="Frutiger 45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b/>
      <sz val="12"/>
      <color indexed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color rgb="FF000000"/>
      <name val="Calibri"/>
      <family val="2"/>
      <scheme val="minor"/>
    </font>
    <font>
      <b/>
      <sz val="2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horizontal="center"/>
    </xf>
    <xf numFmtId="0" fontId="3" fillId="0" borderId="0" xfId="0" applyFont="1" applyBorder="1"/>
    <xf numFmtId="0" fontId="6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5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/>
    </xf>
    <xf numFmtId="0" fontId="7" fillId="0" borderId="0" xfId="0" applyFont="1"/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8" fillId="0" borderId="0" xfId="0" applyFont="1"/>
    <xf numFmtId="0" fontId="1" fillId="2" borderId="0" xfId="0" applyFont="1" applyFill="1" applyAlignment="1">
      <alignment horizontal="left"/>
    </xf>
    <xf numFmtId="0" fontId="4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3" borderId="0" xfId="0" applyFont="1" applyFill="1"/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5" fillId="0" borderId="0" xfId="0" applyFont="1" applyBorder="1" applyAlignment="1">
      <alignment horizontal="right" vertical="center" wrapText="1"/>
    </xf>
    <xf numFmtId="0" fontId="5" fillId="0" borderId="0" xfId="0" applyFont="1" applyBorder="1" applyAlignment="1">
      <alignment horizontal="left" vertical="center" wrapText="1"/>
    </xf>
    <xf numFmtId="0" fontId="2" fillId="4" borderId="0" xfId="0" applyFont="1" applyFill="1" applyBorder="1" applyAlignment="1">
      <alignment vertical="center"/>
    </xf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/>
    <xf numFmtId="0" fontId="4" fillId="2" borderId="0" xfId="0" applyFont="1" applyFill="1" applyBorder="1" applyAlignment="1">
      <alignment vertical="center"/>
    </xf>
    <xf numFmtId="0" fontId="10" fillId="0" borderId="0" xfId="0" applyFont="1"/>
    <xf numFmtId="0" fontId="10" fillId="3" borderId="0" xfId="0" applyFont="1" applyFill="1"/>
    <xf numFmtId="0" fontId="10" fillId="4" borderId="0" xfId="0" applyFont="1" applyFill="1"/>
    <xf numFmtId="0" fontId="10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0" fontId="1" fillId="0" borderId="1" xfId="0" applyFont="1" applyBorder="1" applyAlignment="1">
      <alignment horizontal="left"/>
    </xf>
    <xf numFmtId="1" fontId="8" fillId="0" borderId="0" xfId="0" applyNumberFormat="1" applyFont="1"/>
    <xf numFmtId="0" fontId="9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4" fillId="0" borderId="0" xfId="0" applyFont="1" applyAlignment="1">
      <alignment horizontal="right"/>
    </xf>
    <xf numFmtId="0" fontId="8" fillId="0" borderId="0" xfId="0" applyFont="1" applyAlignment="1">
      <alignment horizontal="left"/>
    </xf>
    <xf numFmtId="0" fontId="3" fillId="0" borderId="0" xfId="0" applyFont="1" applyAlignment="1">
      <alignment horizontal="left" vertical="top" wrapText="1"/>
    </xf>
    <xf numFmtId="1" fontId="8" fillId="0" borderId="0" xfId="0" applyNumberFormat="1" applyFont="1" applyFill="1"/>
    <xf numFmtId="0" fontId="1" fillId="0" borderId="1" xfId="0" applyFont="1" applyBorder="1"/>
    <xf numFmtId="0" fontId="12" fillId="0" borderId="0" xfId="0" applyFont="1"/>
    <xf numFmtId="0" fontId="12" fillId="0" borderId="0" xfId="0" applyFont="1" applyFill="1"/>
    <xf numFmtId="0" fontId="12" fillId="0" borderId="0" xfId="0" applyFont="1" applyAlignment="1">
      <alignment horizontal="left"/>
    </xf>
    <xf numFmtId="0" fontId="13" fillId="0" borderId="0" xfId="0" applyFont="1"/>
    <xf numFmtId="0" fontId="13" fillId="0" borderId="0" xfId="0" applyFont="1" applyFill="1"/>
    <xf numFmtId="0" fontId="13" fillId="0" borderId="0" xfId="0" quotePrefix="1" applyFont="1"/>
    <xf numFmtId="1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 wrapText="1"/>
    </xf>
    <xf numFmtId="0" fontId="12" fillId="5" borderId="0" xfId="0" applyFont="1" applyFill="1"/>
    <xf numFmtId="0" fontId="12" fillId="0" borderId="0" xfId="0" applyFont="1" applyAlignment="1">
      <alignment horizontal="center"/>
    </xf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13" fillId="0" borderId="0" xfId="0" applyFont="1" applyAlignment="1">
      <alignment horizontal="left" vertical="top" wrapText="1"/>
    </xf>
    <xf numFmtId="0" fontId="5" fillId="0" borderId="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1" fontId="8" fillId="5" borderId="0" xfId="0" applyNumberFormat="1" applyFont="1" applyFill="1"/>
    <xf numFmtId="0" fontId="9" fillId="5" borderId="0" xfId="0" applyFont="1" applyFill="1" applyAlignment="1">
      <alignment horizontal="center"/>
    </xf>
    <xf numFmtId="0" fontId="13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12" fillId="0" borderId="0" xfId="0" applyFont="1" applyAlignment="1"/>
    <xf numFmtId="0" fontId="18" fillId="0" borderId="0" xfId="0" applyFont="1" applyAlignment="1">
      <alignment horizontal="left" vertical="center" readingOrder="1"/>
    </xf>
    <xf numFmtId="0" fontId="19" fillId="0" borderId="0" xfId="0" applyFont="1"/>
    <xf numFmtId="0" fontId="19" fillId="0" borderId="0" xfId="0" applyFont="1" applyAlignment="1">
      <alignment horizontal="right"/>
    </xf>
    <xf numFmtId="3" fontId="5" fillId="0" borderId="0" xfId="0" applyNumberFormat="1" applyFont="1" applyBorder="1" applyAlignment="1">
      <alignment horizontal="center" vertical="center" wrapText="1"/>
    </xf>
    <xf numFmtId="3" fontId="2" fillId="2" borderId="0" xfId="0" applyNumberFormat="1" applyFont="1" applyFill="1" applyBorder="1" applyAlignment="1">
      <alignment horizontal="center" vertical="center" wrapText="1"/>
    </xf>
    <xf numFmtId="3" fontId="10" fillId="3" borderId="0" xfId="0" applyNumberFormat="1" applyFont="1" applyFill="1" applyAlignment="1">
      <alignment horizontal="center"/>
    </xf>
    <xf numFmtId="3" fontId="2" fillId="3" borderId="0" xfId="0" applyNumberFormat="1" applyFont="1" applyFill="1" applyAlignment="1">
      <alignment horizontal="center"/>
    </xf>
    <xf numFmtId="3" fontId="11" fillId="0" borderId="0" xfId="0" applyNumberFormat="1" applyFont="1" applyAlignment="1">
      <alignment horizontal="center"/>
    </xf>
    <xf numFmtId="3" fontId="15" fillId="5" borderId="0" xfId="0" applyNumberFormat="1" applyFont="1" applyFill="1" applyAlignment="1">
      <alignment horizontal="center"/>
    </xf>
    <xf numFmtId="3" fontId="8" fillId="0" borderId="0" xfId="0" applyNumberFormat="1" applyFont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0" borderId="0" xfId="0" applyNumberFormat="1" applyFont="1" applyAlignment="1">
      <alignment horizontal="center"/>
    </xf>
    <xf numFmtId="3" fontId="4" fillId="0" borderId="0" xfId="0" applyNumberFormat="1" applyFont="1" applyAlignment="1">
      <alignment horizontal="center"/>
    </xf>
    <xf numFmtId="3" fontId="4" fillId="0" borderId="0" xfId="0" applyNumberFormat="1" applyFont="1" applyAlignment="1">
      <alignment horizontal="center" vertical="top"/>
    </xf>
    <xf numFmtId="0" fontId="3" fillId="0" borderId="0" xfId="0" applyFont="1" applyFill="1" applyBorder="1" applyAlignment="1">
      <alignment horizontal="left"/>
    </xf>
    <xf numFmtId="0" fontId="1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12" fillId="0" borderId="0" xfId="0" applyFont="1" applyFill="1" applyAlignment="1">
      <alignment horizontal="left"/>
    </xf>
    <xf numFmtId="0" fontId="1" fillId="0" borderId="1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3" fillId="0" borderId="0" xfId="0" applyFont="1" applyFill="1" applyAlignment="1">
      <alignment horizontal="left"/>
    </xf>
    <xf numFmtId="0" fontId="13" fillId="0" borderId="0" xfId="0" applyFont="1" applyFill="1" applyAlignment="1">
      <alignment horizontal="left" wrapText="1"/>
    </xf>
    <xf numFmtId="0" fontId="13" fillId="0" borderId="0" xfId="0" applyFont="1" applyFill="1" applyAlignment="1">
      <alignment vertical="top"/>
    </xf>
    <xf numFmtId="0" fontId="17" fillId="0" borderId="0" xfId="0" applyFont="1" applyAlignment="1">
      <alignment horizontal="left" vertical="top" wrapText="1"/>
    </xf>
    <xf numFmtId="0" fontId="12" fillId="0" borderId="0" xfId="0" applyFont="1" applyAlignment="1">
      <alignment wrapText="1"/>
    </xf>
    <xf numFmtId="0" fontId="4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right" vertical="center" wrapText="1"/>
    </xf>
    <xf numFmtId="0" fontId="5" fillId="0" borderId="0" xfId="0" applyFont="1" applyBorder="1" applyAlignment="1">
      <alignment horizontal="left" vertical="center" wrapText="1"/>
    </xf>
    <xf numFmtId="0" fontId="12" fillId="0" borderId="0" xfId="0" applyFont="1" applyAlignment="1">
      <alignment horizontal="left" vertical="top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9E24E2"/>
      <color rgb="FFFF33CC"/>
      <color rgb="FFFF00FF"/>
      <color rgb="FF61F0FF"/>
      <color rgb="FF6C4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662522190497403E-2"/>
          <c:y val="8.8436634088699714E-2"/>
          <c:w val="0.7983310573250787"/>
          <c:h val="0.83501501325265626"/>
        </c:manualLayout>
      </c:layout>
      <c:lineChart>
        <c:grouping val="standard"/>
        <c:varyColors val="0"/>
        <c:ser>
          <c:idx val="14"/>
          <c:order val="11"/>
          <c:tx>
            <c:strRef>
              <c:f>Tabelle1!$Y$8</c:f>
              <c:strCache>
                <c:ptCount val="1"/>
                <c:pt idx="0">
                  <c:v>Mittelwert</c:v>
                </c:pt>
              </c:strCache>
            </c:strRef>
          </c:tx>
          <c:spPr>
            <a:ln w="92075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47625">
                <a:solidFill>
                  <a:schemeClr val="tx1"/>
                </a:solidFill>
              </a:ln>
            </c:spPr>
            <c:trendlineType val="linear"/>
            <c:dispRSqr val="0"/>
            <c:dispEq val="0"/>
          </c:trendline>
          <c:cat>
            <c:numRef>
              <c:f>Tabelle1!$C$7:$V$7</c:f>
              <c:numCache>
                <c:formatCode>General</c:formatCode>
                <c:ptCount val="20"/>
              </c:numCache>
            </c:numRef>
          </c:cat>
          <c:val>
            <c:numRef>
              <c:f>Tabelle1!$C$8:$V$8</c:f>
              <c:numCache>
                <c:formatCode>0</c:formatCode>
                <c:ptCount val="20"/>
                <c:pt idx="0">
                  <c:v>100.5625</c:v>
                </c:pt>
                <c:pt idx="1">
                  <c:v>110.1875</c:v>
                </c:pt>
                <c:pt idx="2">
                  <c:v>110.0625</c:v>
                </c:pt>
                <c:pt idx="3">
                  <c:v>99.3125</c:v>
                </c:pt>
                <c:pt idx="4">
                  <c:v>108.5625</c:v>
                </c:pt>
                <c:pt idx="5">
                  <c:v>113.5</c:v>
                </c:pt>
                <c:pt idx="6">
                  <c:v>112.875</c:v>
                </c:pt>
                <c:pt idx="7">
                  <c:v>113.75</c:v>
                </c:pt>
                <c:pt idx="8">
                  <c:v>120.4375</c:v>
                </c:pt>
                <c:pt idx="9">
                  <c:v>121.75</c:v>
                </c:pt>
                <c:pt idx="10">
                  <c:v>125.375</c:v>
                </c:pt>
                <c:pt idx="11">
                  <c:v>117.3125</c:v>
                </c:pt>
                <c:pt idx="12">
                  <c:v>121.9375</c:v>
                </c:pt>
                <c:pt idx="13">
                  <c:v>118.3125</c:v>
                </c:pt>
                <c:pt idx="14">
                  <c:v>123.5625</c:v>
                </c:pt>
                <c:pt idx="15">
                  <c:v>119.25</c:v>
                </c:pt>
                <c:pt idx="16">
                  <c:v>123.625</c:v>
                </c:pt>
                <c:pt idx="17">
                  <c:v>112.875</c:v>
                </c:pt>
                <c:pt idx="18">
                  <c:v>116.8</c:v>
                </c:pt>
                <c:pt idx="19">
                  <c:v>96.86666666666666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3E-426E-93CD-3F273A3E8730}"/>
            </c:ext>
          </c:extLst>
        </c:ser>
        <c:ser>
          <c:idx val="0"/>
          <c:order val="12"/>
          <c:tx>
            <c:strRef>
              <c:f>Tabelle1!$Y$7</c:f>
              <c:strCache>
                <c:ptCount val="1"/>
              </c:strCache>
            </c:strRef>
          </c:tx>
          <c:marker>
            <c:symbol val="none"/>
          </c:marker>
          <c:cat>
            <c:numRef>
              <c:f>Tabelle1!$C$7:$V$7</c:f>
              <c:numCache>
                <c:formatCode>General</c:formatCode>
                <c:ptCount val="20"/>
              </c:numCache>
            </c:numRef>
          </c:cat>
          <c:val>
            <c:numRef>
              <c:f>Tabelle1!$C$7:$V$7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62-4C8F-8128-5E8A4E565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07360"/>
        <c:axId val="46617728"/>
        <c:extLst>
          <c:ext xmlns:c15="http://schemas.microsoft.com/office/drawing/2012/chart" uri="{02D57815-91ED-43cb-92C2-25804820EDAC}">
            <c15:filteredLineSeries>
              <c15:ser>
                <c:idx val="32"/>
                <c:order val="0"/>
                <c:tx>
                  <c:v>33</c:v>
                </c:tx>
                <c:spPr>
                  <a:ln w="34925">
                    <a:solidFill>
                      <a:srgbClr val="002060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Tabelle1!$C$7:$V$7</c15:sqref>
                        </c15:formulaRef>
                      </c:ext>
                    </c:extLst>
                    <c:numCache>
                      <c:formatCode>General</c:formatCode>
                      <c:ptCount val="20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Tabelle1!#REF!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4D9-4E0E-A9E7-7F2A6F4B84B2}"/>
                  </c:ext>
                </c:extLst>
              </c15:ser>
            </c15:filteredLineSeries>
            <c15:filteredLineSeries>
              <c15:ser>
                <c:idx val="33"/>
                <c:order val="1"/>
                <c:tx>
                  <c:v>34</c:v>
                </c:tx>
                <c:spPr>
                  <a:ln w="34925">
                    <a:solidFill>
                      <a:srgbClr val="92D050"/>
                    </a:solidFill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Tabelle1!$C$7:$V$7</c15:sqref>
                        </c15:formulaRef>
                      </c:ext>
                    </c:extLst>
                    <c:numCache>
                      <c:formatCode>General</c:formatCode>
                      <c:ptCount val="20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BA-4CA2-8FEC-1BC561B6990A}"/>
                  </c:ext>
                </c:extLst>
              </c15:ser>
            </c15:filteredLineSeries>
            <c15:filteredLineSeries>
              <c15:ser>
                <c:idx val="34"/>
                <c:order val="2"/>
                <c:tx>
                  <c:v>35</c:v>
                </c:tx>
                <c:spPr>
                  <a:ln w="34925"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Tabelle1!$C$7:$V$7</c15:sqref>
                        </c15:formulaRef>
                      </c:ext>
                    </c:extLst>
                    <c:numCache>
                      <c:formatCode>General</c:formatCode>
                      <c:ptCount val="20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4420-4299-97FB-7A4CE73DC498}"/>
                  </c:ext>
                </c:extLst>
              </c15:ser>
            </c15:filteredLineSeries>
            <c15:filteredLineSeries>
              <c15:ser>
                <c:idx val="35"/>
                <c:order val="3"/>
                <c:tx>
                  <c:v>36</c:v>
                </c:tx>
                <c:spPr>
                  <a:ln w="28575">
                    <a:solidFill>
                      <a:srgbClr val="92D050"/>
                    </a:solidFill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Tabelle1!$C$7:$V$7</c15:sqref>
                        </c15:formulaRef>
                      </c:ext>
                    </c:extLst>
                    <c:numCache>
                      <c:formatCode>General</c:formatCode>
                      <c:ptCount val="20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44B6-4037-A15E-57E8204DF2FE}"/>
                  </c:ext>
                </c:extLst>
              </c15:ser>
            </c15:filteredLineSeries>
            <c15:filteredLineSeries>
              <c15:ser>
                <c:idx val="36"/>
                <c:order val="4"/>
                <c:tx>
                  <c:v>37</c:v>
                </c:tx>
                <c:spPr>
                  <a:ln w="34925"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Tabelle1!$C$7:$V$7</c15:sqref>
                        </c15:formulaRef>
                      </c:ext>
                    </c:extLst>
                    <c:numCache>
                      <c:formatCode>General</c:formatCode>
                      <c:ptCount val="20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064-435C-AB44-C4257C23A785}"/>
                  </c:ext>
                </c:extLst>
              </c15:ser>
            </c15:filteredLineSeries>
            <c15:filteredLineSeries>
              <c15:ser>
                <c:idx val="37"/>
                <c:order val="5"/>
                <c:tx>
                  <c:v>38</c:v>
                </c:tx>
                <c:spPr>
                  <a:ln w="34925">
                    <a:solidFill>
                      <a:srgbClr val="92D050"/>
                    </a:solidFill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Tabelle1!$C$7:$V$7</c15:sqref>
                        </c15:formulaRef>
                      </c:ext>
                    </c:extLst>
                    <c:numCache>
                      <c:formatCode>General</c:formatCode>
                      <c:ptCount val="20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5A94-488A-AEEB-6CD61368C077}"/>
                  </c:ext>
                </c:extLst>
              </c15:ser>
            </c15:filteredLineSeries>
            <c15:filteredLineSeries>
              <c15:ser>
                <c:idx val="38"/>
                <c:order val="6"/>
                <c:tx>
                  <c:v>39</c:v>
                </c:tx>
                <c:spPr>
                  <a:ln w="28575">
                    <a:solidFill>
                      <a:srgbClr val="002060"/>
                    </a:solidFill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Tabelle1!$C$7:$V$7</c15:sqref>
                        </c15:formulaRef>
                      </c:ext>
                    </c:extLst>
                    <c:numCache>
                      <c:formatCode>General</c:formatCode>
                      <c:ptCount val="20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FCA-4ADC-8B10-BD316091AE4A}"/>
                  </c:ext>
                </c:extLst>
              </c15:ser>
            </c15:filteredLineSeries>
            <c15:filteredLineSeries>
              <c15:ser>
                <c:idx val="5"/>
                <c:order val="7"/>
                <c:tx>
                  <c:v>40</c:v>
                </c:tx>
                <c:spPr>
                  <a:ln w="28575">
                    <a:solidFill>
                      <a:srgbClr val="9E24E2"/>
                    </a:solidFill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Tabelle1!$C$7:$V$7</c15:sqref>
                        </c15:formulaRef>
                      </c:ext>
                    </c:extLst>
                    <c:numCache>
                      <c:formatCode>General</c:formatCode>
                      <c:ptCount val="20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8E4-419F-A2AE-ED32CCBA77E1}"/>
                  </c:ext>
                </c:extLst>
              </c15:ser>
            </c15:filteredLineSeries>
            <c15:filteredLineSeries>
              <c15:ser>
                <c:idx val="7"/>
                <c:order val="8"/>
                <c:tx>
                  <c:v>41</c:v>
                </c:tx>
                <c:spPr>
                  <a:ln w="28575"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Tabelle1!$C$7:$V$7</c15:sqref>
                        </c15:formulaRef>
                      </c:ext>
                    </c:extLst>
                    <c:numCache>
                      <c:formatCode>General</c:formatCode>
                      <c:ptCount val="20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60AA-4CEB-B725-DD0EA693051A}"/>
                  </c:ext>
                </c:extLst>
              </c15:ser>
            </c15:filteredLineSeries>
            <c15:filteredLineSeries>
              <c15:ser>
                <c:idx val="11"/>
                <c:order val="9"/>
                <c:tx>
                  <c:v>42</c:v>
                </c:tx>
                <c:spPr>
                  <a:ln w="28575"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Tabelle1!$C$7:$V$7</c15:sqref>
                        </c15:formulaRef>
                      </c:ext>
                    </c:extLst>
                    <c:numCache>
                      <c:formatCode>General</c:formatCode>
                      <c:ptCount val="20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FD81-42DA-8491-559439403513}"/>
                  </c:ext>
                </c:extLst>
              </c15:ser>
            </c15:filteredLineSeries>
            <c15:filteredLineSeries>
              <c15:ser>
                <c:idx val="12"/>
                <c:order val="10"/>
                <c:tx>
                  <c:v>Nicolas Steinbichler</c:v>
                </c:tx>
                <c:spPr>
                  <a:ln w="88900">
                    <a:solidFill>
                      <a:schemeClr val="accent6">
                        <a:lumMod val="75000"/>
                      </a:schemeClr>
                    </a:solidFill>
                  </a:ln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Tabelle1!$C$7:$V$7</c15:sqref>
                        </c15:formulaRef>
                      </c:ext>
                    </c:extLst>
                    <c:numCache>
                      <c:formatCode>General</c:formatCode>
                      <c:ptCount val="20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Tabelle1!#REF!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5739-4214-8A99-06404C26AF07}"/>
                  </c:ext>
                </c:extLst>
              </c15:ser>
            </c15:filteredLineSeries>
          </c:ext>
        </c:extLst>
      </c:lineChart>
      <c:catAx>
        <c:axId val="46607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Minuten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617728"/>
        <c:crosses val="autoZero"/>
        <c:auto val="1"/>
        <c:lblAlgn val="ctr"/>
        <c:lblOffset val="100"/>
        <c:noMultiLvlLbl val="0"/>
      </c:catAx>
      <c:valAx>
        <c:axId val="46617728"/>
        <c:scaling>
          <c:orientation val="minMax"/>
          <c:max val="180"/>
          <c:min val="6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Anzahl</a:t>
                </a:r>
              </a:p>
            </c:rich>
          </c:tx>
          <c:layout>
            <c:manualLayout>
              <c:xMode val="edge"/>
              <c:yMode val="edge"/>
              <c:x val="1.2669744953209514E-4"/>
              <c:y val="0.44346421521430424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46607360"/>
        <c:crosses val="autoZero"/>
        <c:crossBetween val="between"/>
      </c:valAx>
      <c:spPr>
        <a:ln>
          <a:solidFill>
            <a:srgbClr val="FF00FF">
              <a:alpha val="94000"/>
            </a:srgbClr>
          </a:solidFill>
        </a:ln>
      </c:spPr>
    </c:plotArea>
    <c:legend>
      <c:legendPos val="r"/>
      <c:layout>
        <c:manualLayout>
          <c:xMode val="edge"/>
          <c:yMode val="edge"/>
          <c:x val="0.8754219914132082"/>
          <c:y val="7.6722744557097293E-3"/>
          <c:w val="0.11552111202898019"/>
          <c:h val="9.5434109197888722E-2"/>
        </c:manualLayout>
      </c:layout>
      <c:overlay val="1"/>
      <c:spPr>
        <a:noFill/>
        <a:ln w="28575">
          <a:noFill/>
        </a:ln>
      </c:spPr>
      <c:txPr>
        <a:bodyPr/>
        <a:lstStyle/>
        <a:p>
          <a:pPr>
            <a:defRPr sz="1300" baseline="0">
              <a:solidFill>
                <a:schemeClr val="tx1">
                  <a:alpha val="82000"/>
                </a:schemeClr>
              </a:solidFill>
              <a:latin typeface="Calibri" panose="020F0502020204030204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ln w="15875">
      <a:solidFill>
        <a:schemeClr val="tx1"/>
      </a:solidFill>
    </a:ln>
  </c:spPr>
  <c:printSettings>
    <c:headerFooter>
      <c:oddHeader>&amp;L&amp;"-,Standard"&amp;9ESPAS
&amp;R&amp;"-,Standard"&amp;9Berufsmassnahmen</c:oddHeader>
    </c:headerFooter>
    <c:pageMargins b="0.59055118110236227" l="0.39370078740157483" r="0" t="0.59055118110236227" header="0.11811023622047245" footer="0.1181102362204724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EE2-422C-87D7-5280A22925F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EE2-422C-87D7-5280A22925F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EE2-422C-87D7-5280A22925F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EE2-422C-87D7-5280A22925F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EE2-422C-87D7-5280A22925F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EE2-422C-87D7-5280A22925F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EE2-422C-87D7-5280A22925FE}"/>
              </c:ext>
            </c:extLst>
          </c:dPt>
          <c:cat>
            <c:strRef>
              <c:f>Tabelle2!$I$16:$I$22</c:f>
              <c:strCache>
                <c:ptCount val="7"/>
                <c:pt idx="0">
                  <c:v>Lucky</c:v>
                </c:pt>
                <c:pt idx="1">
                  <c:v>Leggiero</c:v>
                </c:pt>
                <c:pt idx="2">
                  <c:v>Lio</c:v>
                </c:pt>
                <c:pt idx="3">
                  <c:v>Lexus</c:v>
                </c:pt>
                <c:pt idx="4">
                  <c:v>Loro</c:v>
                </c:pt>
                <c:pt idx="5">
                  <c:v>Ligoretto</c:v>
                </c:pt>
                <c:pt idx="6">
                  <c:v>Durchschnitt</c:v>
                </c:pt>
              </c:strCache>
            </c:strRef>
          </c:cat>
          <c:val>
            <c:numRef>
              <c:f>Tabelle2!$J$16:$J$22</c:f>
              <c:numCache>
                <c:formatCode>General</c:formatCode>
                <c:ptCount val="7"/>
                <c:pt idx="0">
                  <c:v>19</c:v>
                </c:pt>
                <c:pt idx="1">
                  <c:v>16</c:v>
                </c:pt>
                <c:pt idx="2">
                  <c:v>11</c:v>
                </c:pt>
                <c:pt idx="3">
                  <c:v>5</c:v>
                </c:pt>
                <c:pt idx="4">
                  <c:v>5</c:v>
                </c:pt>
                <c:pt idx="5">
                  <c:v>25</c:v>
                </c:pt>
                <c:pt idx="6">
                  <c:v>13.5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2D-4B03-9AF5-CF330C8C5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171719</xdr:colOff>
      <xdr:row>14</xdr:row>
      <xdr:rowOff>142875</xdr:rowOff>
    </xdr:from>
    <xdr:to>
      <xdr:col>29</xdr:col>
      <xdr:colOff>523876</xdr:colOff>
      <xdr:row>66</xdr:row>
      <xdr:rowOff>95250</xdr:rowOff>
    </xdr:to>
    <xdr:graphicFrame macro="">
      <xdr:nvGraphicFramePr>
        <xdr:cNvPr id="2" name="Ca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0.91249</cdr:x>
      <cdr:y>0.35131</cdr:y>
    </cdr:from>
    <cdr:to>
      <cdr:x>1</cdr:x>
      <cdr:y>0.51306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9782175" y="1985964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419100</xdr:colOff>
      <xdr:row>12</xdr:row>
      <xdr:rowOff>28575</xdr:rowOff>
    </xdr:from>
    <xdr:to>
      <xdr:col>17</xdr:col>
      <xdr:colOff>419100</xdr:colOff>
      <xdr:row>29</xdr:row>
      <xdr:rowOff>19050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2:AQ86"/>
  <sheetViews>
    <sheetView tabSelected="1" view="pageBreakPreview" topLeftCell="A4" zoomScale="85" zoomScaleNormal="68" zoomScaleSheetLayoutView="85" zoomScalePageLayoutView="71" workbookViewId="0">
      <selection activeCell="AC9" sqref="AC9"/>
    </sheetView>
  </sheetViews>
  <sheetFormatPr baseColWidth="10" defaultColWidth="11.42578125" defaultRowHeight="12.75"/>
  <cols>
    <col min="1" max="1" width="6.85546875" style="1" customWidth="1"/>
    <col min="2" max="2" width="2.5703125" style="1" bestFit="1" customWidth="1"/>
    <col min="3" max="3" width="5.140625" style="1" customWidth="1"/>
    <col min="4" max="4" width="6.5703125" style="1" customWidth="1"/>
    <col min="5" max="5" width="4.85546875" style="1" customWidth="1"/>
    <col min="6" max="15" width="5.140625" style="1" customWidth="1"/>
    <col min="16" max="16" width="5.7109375" style="1" customWidth="1"/>
    <col min="17" max="22" width="5.140625" style="1" customWidth="1"/>
    <col min="23" max="23" width="11" style="75" customWidth="1"/>
    <col min="24" max="24" width="8.42578125" style="4" customWidth="1"/>
    <col min="25" max="25" width="24.28515625" style="8" customWidth="1"/>
    <col min="26" max="26" width="5.7109375" style="8" customWidth="1"/>
    <col min="27" max="27" width="6.7109375" style="8" customWidth="1"/>
    <col min="28" max="28" width="15.5703125" style="79" customWidth="1"/>
    <col min="29" max="29" width="23.28515625" style="8" customWidth="1"/>
    <col min="30" max="30" width="11" style="8" customWidth="1"/>
    <col min="31" max="31" width="21.5703125" style="1" customWidth="1"/>
    <col min="32" max="16384" width="11.42578125" style="1"/>
  </cols>
  <sheetData>
    <row r="2" spans="1:43" s="5" customFormat="1" ht="21" customHeight="1">
      <c r="A2" s="92" t="s">
        <v>2</v>
      </c>
      <c r="B2" s="92"/>
      <c r="C2" s="92"/>
      <c r="D2" s="92"/>
      <c r="E2" s="92"/>
      <c r="F2" s="92"/>
      <c r="G2" s="90" t="s">
        <v>1</v>
      </c>
      <c r="H2" s="90"/>
      <c r="I2" s="90"/>
      <c r="J2" s="90"/>
      <c r="K2" s="90"/>
      <c r="L2" s="90"/>
      <c r="M2" s="90"/>
      <c r="N2" s="90"/>
      <c r="O2" s="90"/>
      <c r="P2" s="90"/>
      <c r="Q2" s="91"/>
      <c r="R2" s="91"/>
      <c r="S2" s="91"/>
      <c r="T2" s="91"/>
      <c r="U2" s="91"/>
      <c r="V2" s="91"/>
      <c r="W2" s="91"/>
      <c r="X2" s="91"/>
      <c r="Y2" s="10"/>
      <c r="Z2" s="12"/>
      <c r="AA2" s="12"/>
      <c r="AB2" s="78"/>
      <c r="AC2" s="12"/>
      <c r="AD2" s="12"/>
    </row>
    <row r="3" spans="1:43" s="5" customFormat="1" ht="21" customHeight="1">
      <c r="A3" s="22"/>
      <c r="B3" s="22"/>
      <c r="C3" s="22"/>
      <c r="D3" s="22"/>
      <c r="E3" s="22"/>
      <c r="F3" s="22"/>
      <c r="G3" s="9"/>
      <c r="H3" s="9"/>
      <c r="I3" s="9"/>
      <c r="J3" s="9"/>
      <c r="K3" s="9"/>
      <c r="L3" s="9"/>
      <c r="M3" s="9"/>
      <c r="N3" s="9"/>
      <c r="O3" s="9"/>
      <c r="P3" s="9"/>
      <c r="Q3" s="21"/>
      <c r="R3" s="21"/>
      <c r="S3" s="21"/>
      <c r="T3" s="21"/>
      <c r="U3" s="21"/>
      <c r="V3" s="21"/>
      <c r="W3" s="67"/>
      <c r="X3" s="57"/>
      <c r="Y3" s="10"/>
      <c r="Z3" s="12"/>
      <c r="AA3" s="12"/>
      <c r="AB3" s="78"/>
      <c r="AC3" s="12"/>
      <c r="AD3" s="12"/>
    </row>
    <row r="4" spans="1:43" ht="23.25" customHeight="1">
      <c r="A4" s="26" t="s">
        <v>6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3" t="s">
        <v>7</v>
      </c>
      <c r="N4" s="23"/>
      <c r="O4" s="24"/>
      <c r="P4" s="24"/>
      <c r="Q4" s="16"/>
      <c r="R4" s="16"/>
      <c r="S4" s="16"/>
      <c r="T4" s="16"/>
      <c r="U4" s="16"/>
      <c r="V4" s="16"/>
      <c r="W4" s="68"/>
      <c r="X4" s="17"/>
      <c r="Y4" s="15"/>
      <c r="Z4" s="15"/>
      <c r="AA4" s="15"/>
      <c r="AC4" s="15"/>
      <c r="AD4" s="15"/>
    </row>
    <row r="5" spans="1:43" s="27" customFormat="1">
      <c r="A5" s="28" t="s">
        <v>9</v>
      </c>
      <c r="B5" s="28"/>
      <c r="C5" s="28">
        <v>1</v>
      </c>
      <c r="D5" s="28">
        <v>1</v>
      </c>
      <c r="E5" s="28">
        <v>2</v>
      </c>
      <c r="F5" s="28">
        <v>2</v>
      </c>
      <c r="G5" s="28">
        <v>2</v>
      </c>
      <c r="H5" s="28">
        <v>3</v>
      </c>
      <c r="I5" s="28">
        <v>3</v>
      </c>
      <c r="J5" s="28">
        <v>4</v>
      </c>
      <c r="K5" s="28">
        <v>4</v>
      </c>
      <c r="L5" s="28">
        <v>4</v>
      </c>
      <c r="M5" s="29">
        <v>5</v>
      </c>
      <c r="N5" s="29">
        <v>5</v>
      </c>
      <c r="O5" s="29">
        <v>6</v>
      </c>
      <c r="P5" s="29">
        <v>6</v>
      </c>
      <c r="Q5" s="28">
        <v>7</v>
      </c>
      <c r="R5" s="28">
        <v>7</v>
      </c>
      <c r="S5" s="28">
        <v>7</v>
      </c>
      <c r="T5" s="28">
        <v>8</v>
      </c>
      <c r="U5" s="28">
        <v>8</v>
      </c>
      <c r="V5" s="28"/>
      <c r="W5" s="69"/>
      <c r="X5" s="30"/>
      <c r="Y5" s="31"/>
      <c r="Z5" s="31"/>
      <c r="AA5" s="31"/>
      <c r="AB5" s="80"/>
      <c r="AC5" s="31"/>
      <c r="AD5" s="31"/>
    </row>
    <row r="6" spans="1:43" s="2" customFormat="1">
      <c r="A6" s="18" t="s">
        <v>0</v>
      </c>
      <c r="B6" s="18">
        <v>0</v>
      </c>
      <c r="C6" s="18">
        <v>3</v>
      </c>
      <c r="D6" s="18">
        <v>6</v>
      </c>
      <c r="E6" s="18">
        <v>9</v>
      </c>
      <c r="F6" s="18">
        <v>12</v>
      </c>
      <c r="G6" s="18">
        <v>15</v>
      </c>
      <c r="H6" s="18">
        <v>18</v>
      </c>
      <c r="I6" s="18">
        <v>21</v>
      </c>
      <c r="J6" s="18">
        <v>24</v>
      </c>
      <c r="K6" s="18">
        <v>27</v>
      </c>
      <c r="L6" s="18">
        <v>30</v>
      </c>
      <c r="M6" s="25">
        <v>33</v>
      </c>
      <c r="N6" s="25">
        <v>36</v>
      </c>
      <c r="O6" s="25">
        <v>39</v>
      </c>
      <c r="P6" s="25">
        <v>42</v>
      </c>
      <c r="Q6" s="18">
        <v>45</v>
      </c>
      <c r="R6" s="18">
        <v>48</v>
      </c>
      <c r="S6" s="18">
        <v>51</v>
      </c>
      <c r="T6" s="18">
        <v>54</v>
      </c>
      <c r="U6" s="18">
        <v>57</v>
      </c>
      <c r="V6" s="18">
        <v>60</v>
      </c>
      <c r="W6" s="70" t="s">
        <v>4</v>
      </c>
      <c r="X6" s="19"/>
      <c r="Y6" s="20" t="s">
        <v>5</v>
      </c>
      <c r="Z6" s="20"/>
      <c r="AA6" s="20"/>
      <c r="AB6" s="81"/>
      <c r="AC6" s="20"/>
      <c r="AD6" s="20"/>
    </row>
    <row r="7" spans="1:43" s="41" customFormat="1" ht="15.75">
      <c r="M7" s="49"/>
      <c r="N7" s="49"/>
      <c r="O7" s="49"/>
      <c r="P7" s="49"/>
      <c r="Q7" s="42"/>
      <c r="W7" s="71"/>
      <c r="X7" s="50"/>
      <c r="Y7" s="43"/>
      <c r="Z7" s="43"/>
      <c r="AA7" s="63"/>
      <c r="AB7" s="82"/>
      <c r="AC7" s="43"/>
      <c r="AD7" s="43"/>
      <c r="AQ7" s="89"/>
    </row>
    <row r="8" spans="1:43" s="41" customFormat="1" ht="15.75">
      <c r="A8" s="51"/>
      <c r="B8" s="52">
        <v>0</v>
      </c>
      <c r="C8" s="53">
        <v>100.5625</v>
      </c>
      <c r="D8" s="53">
        <v>110.1875</v>
      </c>
      <c r="E8" s="53">
        <v>110.0625</v>
      </c>
      <c r="F8" s="53">
        <v>99.3125</v>
      </c>
      <c r="G8" s="53">
        <v>108.5625</v>
      </c>
      <c r="H8" s="53">
        <v>113.5</v>
      </c>
      <c r="I8" s="53">
        <v>112.875</v>
      </c>
      <c r="J8" s="53">
        <v>113.75</v>
      </c>
      <c r="K8" s="53">
        <v>120.4375</v>
      </c>
      <c r="L8" s="53">
        <v>121.75</v>
      </c>
      <c r="M8" s="53">
        <v>125.375</v>
      </c>
      <c r="N8" s="53">
        <v>117.3125</v>
      </c>
      <c r="O8" s="53">
        <v>121.9375</v>
      </c>
      <c r="P8" s="53">
        <v>118.3125</v>
      </c>
      <c r="Q8" s="53">
        <v>123.5625</v>
      </c>
      <c r="R8" s="53">
        <v>119.25</v>
      </c>
      <c r="S8" s="53">
        <v>123.625</v>
      </c>
      <c r="T8" s="53">
        <v>112.875</v>
      </c>
      <c r="U8" s="53">
        <v>116.8</v>
      </c>
      <c r="V8" s="53">
        <v>96.86666666666666</v>
      </c>
      <c r="W8" s="53">
        <v>111.47708333333333</v>
      </c>
      <c r="X8" s="54"/>
      <c r="Y8" s="55" t="s">
        <v>3</v>
      </c>
      <c r="Z8" s="43"/>
      <c r="AA8" s="43"/>
      <c r="AB8" s="82"/>
      <c r="AC8" s="43"/>
      <c r="AD8" s="43"/>
    </row>
    <row r="9" spans="1:43" s="41" customFormat="1" ht="15.75">
      <c r="A9" s="11"/>
      <c r="B9" s="14"/>
      <c r="C9" s="33"/>
      <c r="D9" s="33"/>
      <c r="E9" s="33"/>
      <c r="F9" s="33"/>
      <c r="G9" s="33"/>
      <c r="H9" s="33"/>
      <c r="I9" s="33"/>
      <c r="J9" s="33"/>
      <c r="K9" s="33"/>
      <c r="L9" s="33"/>
      <c r="M9" s="39"/>
      <c r="N9" s="39"/>
      <c r="O9" s="39"/>
      <c r="P9" s="39"/>
      <c r="Q9" s="33"/>
      <c r="R9" s="33"/>
      <c r="S9" s="33"/>
      <c r="T9" s="33"/>
      <c r="U9" s="59"/>
      <c r="V9" s="59"/>
      <c r="W9" s="72"/>
      <c r="X9" s="60"/>
      <c r="Y9" s="37"/>
      <c r="Z9" s="8"/>
      <c r="AA9" s="8"/>
      <c r="AB9" s="82"/>
      <c r="AC9" s="43"/>
      <c r="AD9" s="43"/>
    </row>
    <row r="10" spans="1:43" s="41" customFormat="1" ht="15.75">
      <c r="A10" s="11"/>
      <c r="B10" s="14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9"/>
      <c r="N10" s="39"/>
      <c r="O10" s="39"/>
      <c r="P10" s="39"/>
      <c r="Q10" s="33"/>
      <c r="R10" s="33"/>
      <c r="S10" s="33"/>
      <c r="T10" s="33"/>
      <c r="U10" s="33"/>
      <c r="V10" s="33"/>
      <c r="W10" s="73"/>
      <c r="X10" s="34"/>
      <c r="Y10" s="37"/>
      <c r="Z10" s="8"/>
      <c r="AA10" s="8"/>
      <c r="AB10" s="82"/>
      <c r="AC10" s="43"/>
      <c r="AD10" s="43"/>
    </row>
    <row r="11" spans="1:43" s="41" customFormat="1" ht="15.75">
      <c r="A11" s="11"/>
      <c r="B11" s="14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9"/>
      <c r="N11" s="39"/>
      <c r="O11" s="39"/>
      <c r="P11" s="39"/>
      <c r="Q11" s="33"/>
      <c r="R11" s="33"/>
      <c r="S11" s="33"/>
      <c r="T11" s="33"/>
      <c r="U11" s="33"/>
      <c r="V11" s="33"/>
      <c r="W11" s="73"/>
      <c r="X11" s="34"/>
      <c r="Y11" s="37"/>
      <c r="Z11" s="8"/>
      <c r="AA11" s="8"/>
      <c r="AB11" s="82"/>
      <c r="AC11" s="43"/>
      <c r="AD11" s="43"/>
    </row>
    <row r="12" spans="1:43">
      <c r="A12" s="6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74"/>
      <c r="X12" s="7"/>
      <c r="Y12" s="32"/>
      <c r="Z12" s="32"/>
      <c r="AA12" s="32"/>
      <c r="AB12" s="83"/>
      <c r="AC12" s="32"/>
      <c r="AD12" s="32"/>
    </row>
    <row r="13" spans="1:43">
      <c r="A13" s="35"/>
      <c r="AB13" s="84"/>
      <c r="AC13" s="10"/>
      <c r="AD13" s="10"/>
    </row>
    <row r="14" spans="1:43" ht="28.5">
      <c r="A14" s="64" t="s">
        <v>10</v>
      </c>
      <c r="R14" s="65" t="s">
        <v>26</v>
      </c>
      <c r="AC14" s="66"/>
      <c r="AD14" s="66"/>
    </row>
    <row r="15" spans="1:43" ht="15.75" customHeight="1">
      <c r="AE15" s="36"/>
    </row>
    <row r="16" spans="1:43" ht="21.75" customHeight="1"/>
    <row r="18" ht="17.25" customHeight="1"/>
    <row r="19" ht="7.5" customHeight="1"/>
    <row r="20" hidden="1"/>
    <row r="39" spans="2:30" ht="15"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Z39" s="13"/>
      <c r="AA39" s="13"/>
    </row>
    <row r="40" spans="2:30" ht="15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Z40" s="13"/>
      <c r="AA40" s="13"/>
    </row>
    <row r="42" spans="2:30" ht="15">
      <c r="AB42" s="85"/>
      <c r="AC42" s="13"/>
      <c r="AD42" s="13"/>
    </row>
    <row r="43" spans="2:30" ht="15">
      <c r="AB43" s="85"/>
      <c r="AC43" s="13"/>
      <c r="AD43" s="13"/>
    </row>
    <row r="69" spans="1:32" ht="21" customHeight="1">
      <c r="A69" s="62" t="s">
        <v>8</v>
      </c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</row>
    <row r="70" spans="1:32" ht="18" customHeight="1">
      <c r="A70" s="44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</row>
    <row r="71" spans="1:32" ht="18.75">
      <c r="A71" s="44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  <c r="AA71" s="93"/>
      <c r="AB71" s="93"/>
      <c r="AC71" s="93"/>
      <c r="AD71" s="93"/>
    </row>
    <row r="72" spans="1:32" s="44" customFormat="1" ht="85.5" customHeight="1">
      <c r="H72" s="45"/>
      <c r="N72" s="46"/>
      <c r="W72" s="76"/>
      <c r="X72" s="58"/>
      <c r="Z72" s="47"/>
      <c r="AA72" s="48"/>
      <c r="AB72" s="88"/>
      <c r="AC72" s="88"/>
      <c r="AD72" s="88"/>
    </row>
    <row r="73" spans="1:32" s="44" customFormat="1" ht="18.75">
      <c r="H73" s="45"/>
      <c r="N73" s="46"/>
      <c r="W73" s="76"/>
      <c r="X73" s="58"/>
      <c r="Z73" s="47"/>
      <c r="AA73" s="48"/>
      <c r="AB73" s="86"/>
      <c r="AC73" s="48"/>
      <c r="AD73" s="48"/>
      <c r="AE73" s="48"/>
    </row>
    <row r="74" spans="1:32" s="44" customFormat="1" ht="15.75" customHeight="1">
      <c r="P74" s="61"/>
      <c r="Q74" s="61"/>
      <c r="R74" s="61"/>
      <c r="S74" s="61"/>
      <c r="T74" s="61"/>
      <c r="U74" s="61"/>
      <c r="V74" s="61"/>
      <c r="W74" s="77"/>
      <c r="X74" s="61"/>
      <c r="Y74" s="61"/>
      <c r="Z74" s="61"/>
      <c r="AA74" s="61"/>
      <c r="AB74" s="86"/>
      <c r="AC74" s="48"/>
      <c r="AD74" s="48"/>
      <c r="AE74" s="48"/>
    </row>
    <row r="75" spans="1:32" s="44" customFormat="1" ht="18.75">
      <c r="A75" s="3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75"/>
      <c r="X75" s="4"/>
      <c r="Y75" s="8"/>
      <c r="Z75" s="8"/>
      <c r="AA75" s="8"/>
      <c r="AB75" s="86"/>
      <c r="AC75" s="48"/>
      <c r="AD75" s="48"/>
      <c r="AE75" s="48"/>
    </row>
    <row r="76" spans="1:32" s="44" customFormat="1" ht="18.75">
      <c r="A76" s="3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75"/>
      <c r="X76" s="4"/>
      <c r="Y76" s="8"/>
      <c r="Z76" s="8"/>
      <c r="AA76" s="8"/>
      <c r="AB76" s="86"/>
      <c r="AC76" s="48"/>
      <c r="AD76" s="48"/>
      <c r="AE76" s="48"/>
    </row>
    <row r="77" spans="1:32" s="44" customFormat="1" ht="97.5" customHeight="1">
      <c r="A77" s="3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75"/>
      <c r="X77" s="4"/>
      <c r="Y77" s="8"/>
      <c r="Z77" s="8"/>
      <c r="AA77" s="8"/>
      <c r="AB77" s="87"/>
      <c r="AC77" s="61"/>
      <c r="AD77" s="61"/>
      <c r="AE77" s="61"/>
      <c r="AF77" s="56"/>
    </row>
    <row r="78" spans="1:32" s="3" customFormat="1" ht="18.7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75"/>
      <c r="X78" s="4"/>
      <c r="Y78" s="8"/>
      <c r="Z78" s="8"/>
      <c r="AA78" s="8"/>
      <c r="AB78" s="79"/>
      <c r="AC78" s="8"/>
      <c r="AD78" s="8"/>
      <c r="AE78" s="13"/>
      <c r="AF78" s="44"/>
    </row>
    <row r="79" spans="1:32" s="3" customFormat="1" ht="18.7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75"/>
      <c r="X79" s="4"/>
      <c r="Y79" s="8"/>
      <c r="Z79" s="8"/>
      <c r="AA79" s="8"/>
      <c r="AB79" s="79"/>
      <c r="AC79" s="8"/>
      <c r="AD79" s="8"/>
      <c r="AE79" s="13"/>
      <c r="AF79" s="44"/>
    </row>
    <row r="80" spans="1:32" s="3" customFormat="1" ht="18.7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75"/>
      <c r="X80" s="4"/>
      <c r="Y80" s="8"/>
      <c r="Z80" s="8"/>
      <c r="AA80" s="8"/>
      <c r="AB80" s="79"/>
      <c r="AC80" s="8"/>
      <c r="AD80" s="8"/>
      <c r="AE80" s="13"/>
      <c r="AF80" s="44"/>
    </row>
    <row r="81" spans="1:32" s="3" customFormat="1" ht="8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75"/>
      <c r="X81" s="4"/>
      <c r="Y81" s="8"/>
      <c r="Z81" s="8"/>
      <c r="AA81" s="8"/>
      <c r="AB81" s="79"/>
      <c r="AC81" s="8"/>
      <c r="AD81" s="8"/>
      <c r="AE81" s="13"/>
    </row>
    <row r="82" spans="1:32" s="3" customFormat="1" ht="50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75"/>
      <c r="X82" s="4"/>
      <c r="Y82" s="8"/>
      <c r="Z82" s="8"/>
      <c r="AA82" s="8"/>
      <c r="AB82" s="79"/>
      <c r="AC82" s="8"/>
      <c r="AD82" s="8"/>
      <c r="AE82" s="38"/>
    </row>
    <row r="83" spans="1:32" ht="42" customHeight="1">
      <c r="AF83" s="3"/>
    </row>
    <row r="84" spans="1:32" ht="15">
      <c r="AF84" s="3"/>
    </row>
    <row r="85" spans="1:32" ht="15">
      <c r="AF85" s="3"/>
    </row>
    <row r="86" spans="1:32" ht="15">
      <c r="AF86" s="3"/>
    </row>
  </sheetData>
  <sortState ref="B7:AA7">
    <sortCondition descending="1" ref="W7"/>
  </sortState>
  <mergeCells count="4">
    <mergeCell ref="G2:P2"/>
    <mergeCell ref="Q2:X2"/>
    <mergeCell ref="A2:F2"/>
    <mergeCell ref="B69:AD71"/>
  </mergeCells>
  <phoneticPr fontId="0" type="noConversion"/>
  <pageMargins left="0.39370078740157483" right="0.19685039370078741" top="0.27559055118110237" bottom="0.31496062992125984" header="0.11811023622047245" footer="0"/>
  <pageSetup paperSize="9" scale="65" orientation="landscape" r:id="rId1"/>
  <headerFooter alignWithMargins="0">
    <oddFooter>&amp;R&amp;"-,Standard"&amp;6&amp;Z&amp;F
&amp;D / ib
Seite  1 von 1</oddFooter>
  </headerFooter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000000-0003-0000-0000-000001000000}">
          <x14:colorSeries theme="6" tint="-0.499984740745262"/>
          <x14:colorNegative theme="7"/>
          <x14:colorAxis rgb="FF000000"/>
          <x14:colorMarkers theme="6" tint="-0.499984740745262"/>
          <x14:colorFirst theme="6" tint="0.39997558519241921"/>
          <x14:colorLast theme="6" tint="0.39997558519241921"/>
          <x14:colorHigh theme="6"/>
          <x14:colorLow theme="6"/>
          <x14:sparklines>
            <x14:sparkline>
              <xm:f>Tabelle1!M6:M6</xm:f>
              <xm:sqref>M6</xm:sqref>
            </x14:sparkline>
            <x14:sparkline>
              <xm:f>Tabelle1!N6:N6</xm:f>
              <xm:sqref>N6</xm:sqref>
            </x14:sparkline>
            <x14:sparkline>
              <xm:f>Tabelle1!O6:O6</xm:f>
              <xm:sqref>O6</xm:sqref>
            </x14:sparkline>
            <x14:sparkline>
              <xm:f>Tabelle1!P6:P6</xm:f>
              <xm:sqref>P6</xm:sqref>
            </x14:sparkline>
          </x14:sparklines>
        </x14:sparklineGroup>
        <x14:sparklineGroup displayEmptyCellsAs="gap" xr2:uid="{00000000-0003-0000-0000-000000000000}">
          <x14:colorSeries theme="6" tint="-0.499984740745262"/>
          <x14:colorNegative theme="7"/>
          <x14:colorAxis rgb="FF000000"/>
          <x14:colorMarkers theme="6" tint="-0.499984740745262"/>
          <x14:colorFirst theme="6" tint="0.39997558519241921"/>
          <x14:colorLast theme="6" tint="0.39997558519241921"/>
          <x14:colorHigh theme="6"/>
          <x14:colorLow theme="6"/>
          <x14:sparklines>
            <x14:sparkline>
              <xm:f>Tabelle1!B6:B6</xm:f>
              <xm:sqref>B6</xm:sqref>
            </x14:sparkline>
            <x14:sparkline>
              <xm:f>Tabelle1!C6:C6</xm:f>
              <xm:sqref>C6</xm:sqref>
            </x14:sparkline>
            <x14:sparkline>
              <xm:f>Tabelle1!D6:D6</xm:f>
              <xm:sqref>D6</xm:sqref>
            </x14:sparkline>
            <x14:sparkline>
              <xm:f>Tabelle1!E6:E6</xm:f>
              <xm:sqref>E6</xm:sqref>
            </x14:sparkline>
            <x14:sparkline>
              <xm:f>Tabelle1!F6:F6</xm:f>
              <xm:sqref>F6</xm:sqref>
            </x14:sparkline>
            <x14:sparkline>
              <xm:f>Tabelle1!G6:G6</xm:f>
              <xm:sqref>G6</xm:sqref>
            </x14:sparkline>
            <x14:sparkline>
              <xm:f>Tabelle1!H6:H6</xm:f>
              <xm:sqref>H6</xm:sqref>
            </x14:sparkline>
            <x14:sparkline>
              <xm:f>Tabelle1!I6:I6</xm:f>
              <xm:sqref>I6</xm:sqref>
            </x14:sparkline>
            <x14:sparkline>
              <xm:f>Tabelle1!J6:J6</xm:f>
              <xm:sqref>J6</xm:sqref>
            </x14:sparkline>
            <x14:sparkline>
              <xm:f>Tabelle1!K6:K6</xm:f>
              <xm:sqref>K6</xm:sqref>
            </x14:sparkline>
            <x14:sparkline>
              <xm:f>Tabelle1!L6:L6</xm:f>
              <xm:sqref>L6</xm:sqref>
            </x14:sparkline>
            <x14:sparkline>
              <xm:f>Tabelle1!Q6:Q6</xm:f>
              <xm:sqref>Q6</xm:sqref>
            </x14:sparkline>
            <x14:sparkline>
              <xm:f>Tabelle1!R6:R6</xm:f>
              <xm:sqref>R6</xm:sqref>
            </x14:sparkline>
            <x14:sparkline>
              <xm:f>Tabelle1!S6:S6</xm:f>
              <xm:sqref>S6</xm:sqref>
            </x14:sparkline>
            <x14:sparkline>
              <xm:f>Tabelle1!T6:T6</xm:f>
              <xm:sqref>T6</xm:sqref>
            </x14:sparkline>
            <x14:sparkline>
              <xm:f>Tabelle1!U6:U6</xm:f>
              <xm:sqref>U6</xm:sqref>
            </x14:sparkline>
            <x14:sparkline>
              <xm:f>Tabelle1!V6:V6</xm:f>
              <xm:sqref>V6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B4:J22"/>
  <sheetViews>
    <sheetView workbookViewId="0">
      <selection activeCell="U19" sqref="U19"/>
    </sheetView>
  </sheetViews>
  <sheetFormatPr baseColWidth="10" defaultRowHeight="12.75"/>
  <sheetData>
    <row r="4" spans="2:10">
      <c r="B4" t="s">
        <v>12</v>
      </c>
      <c r="C4" t="s">
        <v>11</v>
      </c>
    </row>
    <row r="5" spans="2:10">
      <c r="B5" t="s">
        <v>13</v>
      </c>
      <c r="C5">
        <v>12</v>
      </c>
    </row>
    <row r="6" spans="2:10">
      <c r="B6" t="s">
        <v>14</v>
      </c>
      <c r="C6">
        <v>21</v>
      </c>
    </row>
    <row r="7" spans="2:10">
      <c r="B7" t="s">
        <v>15</v>
      </c>
      <c r="C7">
        <v>27</v>
      </c>
    </row>
    <row r="8" spans="2:10">
      <c r="B8" t="s">
        <v>16</v>
      </c>
      <c r="C8">
        <v>25</v>
      </c>
    </row>
    <row r="9" spans="2:10">
      <c r="B9" t="s">
        <v>17</v>
      </c>
      <c r="C9">
        <v>2</v>
      </c>
    </row>
    <row r="10" spans="2:10">
      <c r="B10" t="s">
        <v>18</v>
      </c>
      <c r="C10">
        <v>37</v>
      </c>
    </row>
    <row r="11" spans="2:10">
      <c r="B11" t="s">
        <v>19</v>
      </c>
      <c r="C11">
        <f>AVERAGE(C5:C10)</f>
        <v>20.666666666666668</v>
      </c>
    </row>
    <row r="15" spans="2:10">
      <c r="I15" t="s">
        <v>12</v>
      </c>
      <c r="J15" t="s">
        <v>11</v>
      </c>
    </row>
    <row r="16" spans="2:10">
      <c r="I16" t="s">
        <v>20</v>
      </c>
      <c r="J16">
        <v>19</v>
      </c>
    </row>
    <row r="17" spans="9:10">
      <c r="I17" t="s">
        <v>21</v>
      </c>
      <c r="J17">
        <v>16</v>
      </c>
    </row>
    <row r="18" spans="9:10">
      <c r="I18" t="s">
        <v>22</v>
      </c>
      <c r="J18">
        <v>11</v>
      </c>
    </row>
    <row r="19" spans="9:10">
      <c r="I19" t="s">
        <v>23</v>
      </c>
      <c r="J19">
        <v>5</v>
      </c>
    </row>
    <row r="20" spans="9:10">
      <c r="I20" t="s">
        <v>24</v>
      </c>
      <c r="J20">
        <v>5</v>
      </c>
    </row>
    <row r="21" spans="9:10">
      <c r="I21" t="s">
        <v>25</v>
      </c>
      <c r="J21">
        <v>25</v>
      </c>
    </row>
    <row r="22" spans="9:10">
      <c r="I22" t="s">
        <v>19</v>
      </c>
      <c r="J22">
        <f>AVERAGE(J16:J21)</f>
        <v>13.5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"/>
  <sheetViews>
    <sheetView workbookViewId="0"/>
  </sheetViews>
  <sheetFormatPr baseColWidth="10" defaultRowHeight="12.75"/>
  <sheetData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Tabelle1</vt:lpstr>
      <vt:lpstr>Tabelle2</vt:lpstr>
      <vt:lpstr>Tabelle3</vt:lpstr>
      <vt:lpstr>Tabelle1!Druckbereich</vt:lpstr>
    </vt:vector>
  </TitlesOfParts>
  <Company>ESPAS-IT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yguedemann</dc:creator>
  <cp:lastModifiedBy>Blascanin, Miroslav</cp:lastModifiedBy>
  <cp:lastPrinted>2024-12-06T07:43:02Z</cp:lastPrinted>
  <dcterms:created xsi:type="dcterms:W3CDTF">2003-09-02T09:01:11Z</dcterms:created>
  <dcterms:modified xsi:type="dcterms:W3CDTF">2025-02-11T08:27:20Z</dcterms:modified>
</cp:coreProperties>
</file>